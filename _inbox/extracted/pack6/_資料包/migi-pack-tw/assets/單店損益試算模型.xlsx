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假設 Assumptions" sheetId="1" state="visible" r:id="rId3"/>
    <sheet name="損益 P&amp;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<sst xmlns="http://schemas.openxmlformats.org/spreadsheetml/2006/main" count="91" uniqueCount="89">
  <si>
    <r>
      <rPr>
        <b val="true"/>
        <sz val="14"/>
        <color rgb="FF2E2B2C"/>
        <rFont val="Arial"/>
        <family val="0"/>
        <charset val="1"/>
      </rPr>
      <t xml:space="preserve">MIGI </t>
    </r>
    <r>
      <rPr>
        <b val="true"/>
        <sz val="14"/>
        <color rgb="FF2E2B2C"/>
        <rFont val="Noto Sans CJK SC"/>
        <family val="2"/>
      </rPr>
      <t xml:space="preserve">單店損益模型 — 假設</t>
    </r>
  </si>
  <si>
    <t xml:space="preserve">首店:6 桌 · 開放式 · 高雄 · 藍色=可調輸入值</t>
  </si>
  <si>
    <t xml:space="preserve">營運規模</t>
  </si>
  <si>
    <t xml:space="preserve">桌數</t>
  </si>
  <si>
    <t xml:space="preserve">首店規模</t>
  </si>
  <si>
    <t xml:space="preserve">每桌人數</t>
  </si>
  <si>
    <t xml:space="preserve">台麻四人</t>
  </si>
  <si>
    <t xml:space="preserve">每日營業時數</t>
  </si>
  <si>
    <t xml:space="preserve">10:00-24:00</t>
  </si>
  <si>
    <t xml:space="preserve">每月營業天數</t>
  </si>
  <si>
    <t xml:space="preserve">全月無休</t>
  </si>
  <si>
    <t xml:space="preserve">營收假設 — 桌時費</t>
  </si>
  <si>
    <t xml:space="preserve">每人每小時桌時費</t>
  </si>
  <si>
    <t xml:space="preserve">行情60,精品溢價→75</t>
  </si>
  <si>
    <t xml:space="preserve">平均上座率</t>
  </si>
  <si>
    <t xml:space="preserve">冷啟動保守抓45%</t>
  </si>
  <si>
    <t xml:space="preserve">營收假設 — 餐飲</t>
  </si>
  <si>
    <t xml:space="preserve">餐飲客單價(每人每次)</t>
  </si>
  <si>
    <t xml:space="preserve">下午茶塔+特調</t>
  </si>
  <si>
    <t xml:space="preserve">餐飲購買率</t>
  </si>
  <si>
    <r>
      <rPr>
        <i val="true"/>
        <sz val="9"/>
        <color rgb="FF7A7572"/>
        <rFont val="Arial"/>
        <family val="0"/>
        <charset val="1"/>
      </rPr>
      <t xml:space="preserve">6</t>
    </r>
    <r>
      <rPr>
        <i val="true"/>
        <sz val="9"/>
        <color rgb="FF7A7572"/>
        <rFont val="Noto Sans CJK SC"/>
        <family val="2"/>
      </rPr>
      <t xml:space="preserve">成客人會點</t>
    </r>
  </si>
  <si>
    <t xml:space="preserve">餐飲毛利率</t>
  </si>
  <si>
    <t xml:space="preserve">飲品高毛利</t>
  </si>
  <si>
    <t xml:space="preserve">固定成本(月)</t>
  </si>
  <si>
    <t xml:space="preserve">租金</t>
  </si>
  <si>
    <t xml:space="preserve">高雄開放式</t>
  </si>
  <si>
    <t xml:space="preserve">店員人數</t>
  </si>
  <si>
    <t xml:space="preserve">業務型店員</t>
  </si>
  <si>
    <t xml:space="preserve">每位店員底薪(不含獎金)</t>
  </si>
  <si>
    <r>
      <rPr>
        <i val="true"/>
        <sz val="9"/>
        <color rgb="FF7A7572"/>
        <rFont val="Noto Sans CJK SC"/>
        <family val="2"/>
      </rPr>
      <t xml:space="preserve">獎金另計</t>
    </r>
    <r>
      <rPr>
        <i val="true"/>
        <sz val="9"/>
        <color rgb="FF7A7572"/>
        <rFont val="Arial"/>
        <family val="0"/>
        <charset val="1"/>
      </rPr>
      <t xml:space="preserve">(</t>
    </r>
    <r>
      <rPr>
        <i val="true"/>
        <sz val="9"/>
        <color rgb="FF7A7572"/>
        <rFont val="Noto Sans CJK SC"/>
        <family val="2"/>
      </rPr>
      <t xml:space="preserve">變動成本</t>
    </r>
    <r>
      <rPr>
        <i val="true"/>
        <sz val="9"/>
        <color rgb="FF7A7572"/>
        <rFont val="Arial"/>
        <family val="0"/>
        <charset val="1"/>
      </rPr>
      <t xml:space="preserve">,</t>
    </r>
    <r>
      <rPr>
        <i val="true"/>
        <sz val="9"/>
        <color rgb="FF7A7572"/>
        <rFont val="Noto Sans CJK SC"/>
        <family val="2"/>
      </rPr>
      <t xml:space="preserve">見下</t>
    </r>
    <r>
      <rPr>
        <i val="true"/>
        <sz val="9"/>
        <color rgb="FF7A7572"/>
        <rFont val="Arial"/>
        <family val="0"/>
        <charset val="1"/>
      </rPr>
      <t xml:space="preserve">)</t>
    </r>
  </si>
  <si>
    <t xml:space="preserve">水電雜支</t>
  </si>
  <si>
    <t xml:space="preserve">電費(冷氣重)+網路+耗材</t>
  </si>
  <si>
    <t xml:space="preserve">行銷費(月)</t>
  </si>
  <si>
    <t xml:space="preserve">社群+活動</t>
  </si>
  <si>
    <t xml:space="preserve">初期投資(一次性,攤提用)</t>
  </si>
  <si>
    <t xml:space="preserve">每張電動麻將桌</t>
  </si>
  <si>
    <t xml:space="preserve">全自動+過山車</t>
  </si>
  <si>
    <t xml:space="preserve">每桌俯視鏡頭+邊緣盒</t>
  </si>
  <si>
    <t xml:space="preserve">牌譜系統</t>
  </si>
  <si>
    <t xml:space="preserve">裝潢(精品粉)</t>
  </si>
  <si>
    <r>
      <rPr>
        <i val="true"/>
        <sz val="9"/>
        <color rgb="FF7A7572"/>
        <rFont val="Arial"/>
        <family val="0"/>
        <charset val="1"/>
      </rPr>
      <t xml:space="preserve">6</t>
    </r>
    <r>
      <rPr>
        <i val="true"/>
        <sz val="9"/>
        <color rgb="FF7A7572"/>
        <rFont val="Noto Sans CJK SC"/>
        <family val="2"/>
      </rPr>
      <t xml:space="preserve">桌開放式空間</t>
    </r>
  </si>
  <si>
    <t xml:space="preserve">系統開發(一次)</t>
  </si>
  <si>
    <r>
      <rPr>
        <i val="true"/>
        <sz val="9"/>
        <color rgb="FF7A7572"/>
        <rFont val="Arial"/>
        <family val="0"/>
        <charset val="1"/>
      </rPr>
      <t xml:space="preserve">App+</t>
    </r>
    <r>
      <rPr>
        <i val="true"/>
        <sz val="9"/>
        <color rgb="FF7A7572"/>
        <rFont val="Noto Sans CJK SC"/>
        <family val="2"/>
      </rPr>
      <t xml:space="preserve">後台</t>
    </r>
  </si>
  <si>
    <t xml:space="preserve">攤提年限</t>
  </si>
  <si>
    <t xml:space="preserve">設備裝潢分5年</t>
  </si>
  <si>
    <r>
      <rPr>
        <b val="true"/>
        <sz val="11"/>
        <color rgb="FFFFFFFF"/>
        <rFont val="Noto Sans CJK SC"/>
        <family val="2"/>
      </rPr>
      <t xml:space="preserve">店員獎金假設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變動成本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</si>
  <si>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配桌獎金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每桌</t>
    </r>
    <r>
      <rPr>
        <sz val="11"/>
        <color theme="1"/>
        <rFont val="Calibri"/>
        <family val="2"/>
        <charset val="1"/>
      </rPr>
      <t xml:space="preserve">)</t>
    </r>
  </si>
  <si>
    <t xml:space="preserve">店員人工配才發</t>
  </si>
  <si>
    <r>
      <rPr>
        <sz val="11"/>
        <color theme="1"/>
        <rFont val="Noto Sans CJK SC"/>
        <family val="2"/>
      </rPr>
      <t xml:space="preserve">綁定客人獎金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每人每次</t>
    </r>
    <r>
      <rPr>
        <sz val="11"/>
        <color theme="1"/>
        <rFont val="Calibri"/>
        <family val="2"/>
        <charset val="1"/>
      </rPr>
      <t xml:space="preserve">)</t>
    </r>
  </si>
  <si>
    <t xml:space="preserve">名下客人有效消費</t>
  </si>
  <si>
    <t xml:space="preserve">店員配桌比例</t>
  </si>
  <si>
    <r>
      <rPr>
        <i val="true"/>
        <sz val="9"/>
        <color rgb="FF7A7572"/>
        <rFont val="Arial"/>
        <family val="0"/>
        <charset val="1"/>
      </rPr>
      <t xml:space="preserve">6</t>
    </r>
    <r>
      <rPr>
        <i val="true"/>
        <sz val="9"/>
        <color rgb="FF7A7572"/>
        <rFont val="Noto Sans CJK SC"/>
        <family val="2"/>
      </rPr>
      <t xml:space="preserve">成桌靠店員配</t>
    </r>
    <r>
      <rPr>
        <i val="true"/>
        <sz val="9"/>
        <color rgb="FF7A7572"/>
        <rFont val="Arial"/>
        <family val="0"/>
        <charset val="1"/>
      </rPr>
      <t xml:space="preserve">(</t>
    </r>
    <r>
      <rPr>
        <i val="true"/>
        <sz val="9"/>
        <color rgb="FF7A7572"/>
        <rFont val="Noto Sans CJK SC"/>
        <family val="2"/>
      </rPr>
      <t xml:space="preserve">其餘系統配進公池不發</t>
    </r>
    <r>
      <rPr>
        <i val="true"/>
        <sz val="9"/>
        <color rgb="FF7A7572"/>
        <rFont val="Arial"/>
        <family val="0"/>
        <charset val="1"/>
      </rPr>
      <t xml:space="preserve">)</t>
    </r>
  </si>
  <si>
    <t xml:space="preserve">客人已綁店員比例</t>
  </si>
  <si>
    <r>
      <rPr>
        <i val="true"/>
        <sz val="9"/>
        <color rgb="FF7A7572"/>
        <rFont val="Arial"/>
        <family val="0"/>
        <charset val="1"/>
      </rPr>
      <t xml:space="preserve">7</t>
    </r>
    <r>
      <rPr>
        <i val="true"/>
        <sz val="9"/>
        <color rgb="FF7A7572"/>
        <rFont val="Noto Sans CJK SC"/>
        <family val="2"/>
      </rPr>
      <t xml:space="preserve">成來客有主責店員</t>
    </r>
  </si>
  <si>
    <r>
      <rPr>
        <b val="true"/>
        <sz val="14"/>
        <color rgb="FF2E2B2C"/>
        <rFont val="Arial"/>
        <family val="0"/>
        <charset val="1"/>
      </rPr>
      <t xml:space="preserve">MIGI </t>
    </r>
    <r>
      <rPr>
        <b val="true"/>
        <sz val="14"/>
        <color rgb="FF2E2B2C"/>
        <rFont val="Noto Sans CJK SC"/>
        <family val="2"/>
      </rPr>
      <t xml:space="preserve">單店月損益試算</t>
    </r>
  </si>
  <si>
    <t xml:space="preserve">黑字=公式(隨假設自動算) · 綠字=引用假設頁</t>
  </si>
  <si>
    <t xml:space="preserve">每月營收</t>
  </si>
  <si>
    <t xml:space="preserve">桌時費收入</t>
  </si>
  <si>
    <t xml:space="preserve">滿座人時 × 上座率 × 單價</t>
  </si>
  <si>
    <t xml:space="preserve">餐飲消費人次</t>
  </si>
  <si>
    <t xml:space="preserve">人時/3.5hr停留 × 購買率</t>
  </si>
  <si>
    <t xml:space="preserve">餐飲收入(營業額)</t>
  </si>
  <si>
    <t xml:space="preserve">人次 × 客單價</t>
  </si>
  <si>
    <t xml:space="preserve">餐飲毛利</t>
  </si>
  <si>
    <t xml:space="preserve">營業額 × 毛利率</t>
  </si>
  <si>
    <t xml:space="preserve">營收合計(桌時費+餐飲毛利)</t>
  </si>
  <si>
    <t xml:space="preserve">餐飲只計毛利貢獻</t>
  </si>
  <si>
    <t xml:space="preserve">每月固定成本</t>
  </si>
  <si>
    <t xml:space="preserve">人事(店員底薪)</t>
  </si>
  <si>
    <t xml:space="preserve">店員數 × 月薪</t>
  </si>
  <si>
    <t xml:space="preserve">勞健保(估人事15%)</t>
  </si>
  <si>
    <t xml:space="preserve">雇主負擔約15%</t>
  </si>
  <si>
    <t xml:space="preserve">行銷費</t>
  </si>
  <si>
    <t xml:space="preserve">設備裝潢攤提(月)</t>
  </si>
  <si>
    <t xml:space="preserve">初期投資 ÷ 年限 ÷ 12</t>
  </si>
  <si>
    <r>
      <rPr>
        <sz val="11"/>
        <color theme="1"/>
        <rFont val="Noto Sans CJK SC"/>
        <family val="2"/>
      </rPr>
      <t xml:space="preserve">店員獎金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變動</t>
    </r>
    <r>
      <rPr>
        <sz val="11"/>
        <color theme="1"/>
        <rFont val="Calibri"/>
        <family val="2"/>
        <charset val="1"/>
      </rPr>
      <t xml:space="preserve">)</t>
    </r>
  </si>
  <si>
    <r>
      <rPr>
        <i val="true"/>
        <sz val="9"/>
        <color rgb="FF7A7572"/>
        <rFont val="Noto Sans CJK SC"/>
        <family val="2"/>
      </rPr>
      <t xml:space="preserve">配桌獎金</t>
    </r>
    <r>
      <rPr>
        <i val="true"/>
        <sz val="9"/>
        <color rgb="FF7A7572"/>
        <rFont val="Arial"/>
        <family val="0"/>
        <charset val="1"/>
      </rPr>
      <t xml:space="preserve">×</t>
    </r>
    <r>
      <rPr>
        <i val="true"/>
        <sz val="9"/>
        <color rgb="FF7A7572"/>
        <rFont val="Noto Sans CJK SC"/>
        <family val="2"/>
      </rPr>
      <t xml:space="preserve">店員配比 </t>
    </r>
    <r>
      <rPr>
        <i val="true"/>
        <sz val="9"/>
        <color rgb="FF7A7572"/>
        <rFont val="Arial"/>
        <family val="0"/>
        <charset val="1"/>
      </rPr>
      <t xml:space="preserve">+ </t>
    </r>
    <r>
      <rPr>
        <i val="true"/>
        <sz val="9"/>
        <color rgb="FF7A7572"/>
        <rFont val="Noto Sans CJK SC"/>
        <family val="2"/>
      </rPr>
      <t xml:space="preserve">綁定獎金</t>
    </r>
    <r>
      <rPr>
        <i val="true"/>
        <sz val="9"/>
        <color rgb="FF7A7572"/>
        <rFont val="Arial"/>
        <family val="0"/>
        <charset val="1"/>
      </rPr>
      <t xml:space="preserve">×</t>
    </r>
    <r>
      <rPr>
        <i val="true"/>
        <sz val="9"/>
        <color rgb="FF7A7572"/>
        <rFont val="Noto Sans CJK SC"/>
        <family val="2"/>
      </rPr>
      <t xml:space="preserve">人數</t>
    </r>
    <r>
      <rPr>
        <i val="true"/>
        <sz val="9"/>
        <color rgb="FF7A7572"/>
        <rFont val="Arial"/>
        <family val="0"/>
        <charset val="1"/>
      </rPr>
      <t xml:space="preserve">×</t>
    </r>
    <r>
      <rPr>
        <i val="true"/>
        <sz val="9"/>
        <color rgb="FF7A7572"/>
        <rFont val="Noto Sans CJK SC"/>
        <family val="2"/>
      </rPr>
      <t xml:space="preserve">綁定比</t>
    </r>
  </si>
  <si>
    <t xml:space="preserve">成本合計</t>
  </si>
  <si>
    <t xml:space="preserve">每月損益</t>
  </si>
  <si>
    <t xml:space="preserve">稅前淨利</t>
  </si>
  <si>
    <t xml:space="preserve">淨利率</t>
  </si>
  <si>
    <t xml:space="preserve">對總營業額</t>
  </si>
  <si>
    <t xml:space="preserve">關鍵指標</t>
  </si>
  <si>
    <t xml:space="preserve">損益兩平上座率</t>
  </si>
  <si>
    <t xml:space="preserve">達此上座率打平(含餐飲毛利)</t>
  </si>
  <si>
    <t xml:space="preserve">初期投資總額</t>
  </si>
  <si>
    <t xml:space="preserve">設備+鏡頭+裝潢+系統</t>
  </si>
  <si>
    <t xml:space="preserve">回本月數(淨利為正時)</t>
  </si>
  <si>
    <t xml:space="preserve">初期投資 ÷ 月淨利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</si>
</sst>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"/>
    <numFmt numFmtId="167" formatCode="\$#,##0;&quot;($&quot;#,##0\);\-"/>
    <numFmt numFmtId="168" formatCode="0%"/>
    <numFmt numFmtId="169" formatCode="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2B2C"/>
      <name val="Arial"/>
      <family val="0"/>
      <charset val="1"/>
    </font>
    <font>
      <b val="true"/>
      <sz val="14"/>
      <color rgb="FF2E2B2C"/>
      <name val="Noto Sans CJK SC"/>
      <family val="2"/>
    </font>
    <font>
      <i val="true"/>
      <sz val="9"/>
      <color rgb="FF7A7572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sz val="11"/>
      <color rgb="FF0000FF"/>
      <name val="Arial"/>
      <family val="0"/>
      <charset val="1"/>
    </font>
    <font>
      <i val="true"/>
      <sz val="9"/>
      <color rgb="FF7A7572"/>
      <name val="Arial"/>
      <family val="0"/>
      <charset val="1"/>
    </font>
    <font>
      <i val="true"/>
      <sz val="9"/>
      <color rgb="FF7A7572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theme="1"/>
      <name val="Noto Sans CJK SC"/>
      <family val="2"/>
    </font>
    <font>
      <sz val="11"/>
      <color rgb="FF000000"/>
      <name val="Arial"/>
      <family val="0"/>
      <charset val="1"/>
    </font>
    <font>
      <b val="true"/>
      <sz val="11"/>
      <color rgb="FF000000"/>
      <name val="Noto Sans CJK SC"/>
      <family val="2"/>
      <charset val="1"/>
    </font>
    <font>
      <b val="true"/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2B2C"/>
        <bgColor rgb="FF333300"/>
      </patternFill>
    </fill>
    <fill>
      <patternFill patternType="solid">
        <fgColor rgb="FFFFF2CC"/>
        <bgColor rgb="FFF0EFEE"/>
      </patternFill>
    </fill>
    <fill>
      <patternFill patternType="solid">
        <fgColor rgb="FFFAD6DC"/>
        <bgColor rgb="FFF0EFEE"/>
      </patternFill>
    </fill>
    <fill>
      <patternFill patternType="solid">
        <fgColor rgb="FFF0EFEE"/>
        <bgColor rgb="FFE2EFDA"/>
      </patternFill>
    </fill>
    <fill>
      <patternFill patternType="solid">
        <fgColor rgb="FFE2EFDA"/>
        <bgColor rgb="FFF0EF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572"/>
      <rgbColor rgb="FF9999FF"/>
      <rgbColor rgb="FF993366"/>
      <rgbColor rgb="FFFFF2CC"/>
      <rgbColor rgb="FFF0EF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AD6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2B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40"/>
  </cols>
  <sheetData>
    <row r="1" customFormat="false" ht="21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5"/>
    </row>
    <row r="5" customFormat="false" ht="15" hidden="false" customHeight="true" outlineLevel="0" collapsed="false">
      <c r="A5" s="6" t="s">
        <v>3</v>
      </c>
      <c r="B5" s="7" t="n">
        <v>6</v>
      </c>
      <c r="C5" s="3" t="s">
        <v>4</v>
      </c>
    </row>
    <row r="6" customFormat="false" ht="15" hidden="false" customHeight="true" outlineLevel="0" collapsed="false">
      <c r="A6" s="6" t="s">
        <v>5</v>
      </c>
      <c r="B6" s="7" t="n">
        <v>4</v>
      </c>
      <c r="C6" s="3" t="s">
        <v>6</v>
      </c>
    </row>
    <row r="7" customFormat="false" ht="15" hidden="false" customHeight="true" outlineLevel="0" collapsed="false">
      <c r="A7" s="6" t="s">
        <v>7</v>
      </c>
      <c r="B7" s="7" t="n">
        <v>14</v>
      </c>
      <c r="C7" s="8" t="s">
        <v>8</v>
      </c>
    </row>
    <row r="8" customFormat="false" ht="15" hidden="false" customHeight="true" outlineLevel="0" collapsed="false">
      <c r="A8" s="6" t="s">
        <v>9</v>
      </c>
      <c r="B8" s="7" t="n">
        <v>30</v>
      </c>
      <c r="C8" s="3" t="s">
        <v>10</v>
      </c>
    </row>
    <row r="9" customFormat="false" ht="15" hidden="false" customHeight="true" outlineLevel="0" collapsed="false">
      <c r="A9" s="4" t="s">
        <v>11</v>
      </c>
      <c r="B9" s="5"/>
      <c r="C9" s="5"/>
    </row>
    <row r="10" customFormat="false" ht="15" hidden="false" customHeight="true" outlineLevel="0" collapsed="false">
      <c r="A10" s="6" t="s">
        <v>12</v>
      </c>
      <c r="B10" s="9" t="n">
        <v>75</v>
      </c>
      <c r="C10" s="3" t="s">
        <v>13</v>
      </c>
    </row>
    <row r="11" customFormat="false" ht="15" hidden="false" customHeight="true" outlineLevel="0" collapsed="false">
      <c r="A11" s="6" t="s">
        <v>14</v>
      </c>
      <c r="B11" s="10" t="n">
        <v>0.45</v>
      </c>
      <c r="C11" s="3" t="s">
        <v>15</v>
      </c>
    </row>
    <row r="12" customFormat="false" ht="15" hidden="false" customHeight="true" outlineLevel="0" collapsed="false">
      <c r="A12" s="4" t="s">
        <v>16</v>
      </c>
      <c r="B12" s="5"/>
      <c r="C12" s="5"/>
    </row>
    <row r="13" customFormat="false" ht="16.5" hidden="false" customHeight="true" outlineLevel="0" collapsed="false">
      <c r="A13" s="6" t="s">
        <v>17</v>
      </c>
      <c r="B13" s="9" t="n">
        <v>120</v>
      </c>
      <c r="C13" s="3" t="s">
        <v>18</v>
      </c>
    </row>
    <row r="14" customFormat="false" ht="15" hidden="false" customHeight="true" outlineLevel="0" collapsed="false">
      <c r="A14" s="6" t="s">
        <v>19</v>
      </c>
      <c r="B14" s="10" t="n">
        <v>0.6</v>
      </c>
      <c r="C14" s="8" t="s">
        <v>20</v>
      </c>
    </row>
    <row r="15" customFormat="false" ht="15" hidden="false" customHeight="true" outlineLevel="0" collapsed="false">
      <c r="A15" s="6" t="s">
        <v>21</v>
      </c>
      <c r="B15" s="10" t="n">
        <v>0.65</v>
      </c>
      <c r="C15" s="3" t="s">
        <v>22</v>
      </c>
    </row>
    <row r="16" customFormat="false" ht="16.5" hidden="false" customHeight="true" outlineLevel="0" collapsed="false">
      <c r="A16" s="4" t="s">
        <v>23</v>
      </c>
      <c r="B16" s="5"/>
      <c r="C16" s="5"/>
    </row>
    <row r="17" customFormat="false" ht="15" hidden="false" customHeight="true" outlineLevel="0" collapsed="false">
      <c r="A17" s="6" t="s">
        <v>24</v>
      </c>
      <c r="B17" s="9" t="n">
        <v>20000</v>
      </c>
      <c r="C17" s="3" t="s">
        <v>25</v>
      </c>
    </row>
    <row r="18" customFormat="false" ht="15" hidden="false" customHeight="true" outlineLevel="0" collapsed="false">
      <c r="A18" s="6" t="s">
        <v>26</v>
      </c>
      <c r="B18" s="7" t="n">
        <v>3</v>
      </c>
      <c r="C18" s="3" t="s">
        <v>27</v>
      </c>
    </row>
    <row r="19" customFormat="false" ht="16.5" hidden="false" customHeight="true" outlineLevel="0" collapsed="false">
      <c r="A19" s="6" t="s">
        <v>28</v>
      </c>
      <c r="B19" s="9" t="n">
        <v>38000</v>
      </c>
      <c r="C19" s="11" t="s">
        <v>29</v>
      </c>
    </row>
    <row r="20" customFormat="false" ht="15" hidden="false" customHeight="true" outlineLevel="0" collapsed="false">
      <c r="A20" s="6" t="s">
        <v>30</v>
      </c>
      <c r="B20" s="9" t="n">
        <v>15000</v>
      </c>
      <c r="C20" s="3" t="s">
        <v>31</v>
      </c>
    </row>
    <row r="21" customFormat="false" ht="16.5" hidden="false" customHeight="true" outlineLevel="0" collapsed="false">
      <c r="A21" s="6" t="s">
        <v>32</v>
      </c>
      <c r="B21" s="9" t="n">
        <v>10000</v>
      </c>
      <c r="C21" s="3" t="s">
        <v>33</v>
      </c>
    </row>
    <row r="22" customFormat="false" ht="16.5" hidden="false" customHeight="true" outlineLevel="0" collapsed="false">
      <c r="A22" s="4" t="s">
        <v>34</v>
      </c>
      <c r="B22" s="5"/>
      <c r="C22" s="5"/>
    </row>
    <row r="23" customFormat="false" ht="15" hidden="false" customHeight="true" outlineLevel="0" collapsed="false">
      <c r="A23" s="6" t="s">
        <v>35</v>
      </c>
      <c r="B23" s="9" t="n">
        <v>60000</v>
      </c>
      <c r="C23" s="3" t="s">
        <v>36</v>
      </c>
    </row>
    <row r="24" customFormat="false" ht="16.5" hidden="false" customHeight="true" outlineLevel="0" collapsed="false">
      <c r="A24" s="6" t="s">
        <v>37</v>
      </c>
      <c r="B24" s="9" t="n">
        <v>15000</v>
      </c>
      <c r="C24" s="3" t="s">
        <v>38</v>
      </c>
    </row>
    <row r="25" customFormat="false" ht="16.5" hidden="false" customHeight="true" outlineLevel="0" collapsed="false">
      <c r="A25" s="6" t="s">
        <v>39</v>
      </c>
      <c r="B25" s="9" t="n">
        <v>800000</v>
      </c>
      <c r="C25" s="8" t="s">
        <v>40</v>
      </c>
    </row>
    <row r="26" customFormat="false" ht="16.5" hidden="false" customHeight="true" outlineLevel="0" collapsed="false">
      <c r="A26" s="6" t="s">
        <v>41</v>
      </c>
      <c r="B26" s="9" t="n">
        <v>300000</v>
      </c>
      <c r="C26" s="8" t="s">
        <v>42</v>
      </c>
    </row>
    <row r="27" customFormat="false" ht="15" hidden="false" customHeight="true" outlineLevel="0" collapsed="false">
      <c r="A27" s="6" t="s">
        <v>43</v>
      </c>
      <c r="B27" s="7" t="n">
        <v>5</v>
      </c>
      <c r="C27" s="3" t="s">
        <v>44</v>
      </c>
    </row>
    <row r="29" customFormat="false" ht="17.15" hidden="false" customHeight="false" outlineLevel="0" collapsed="false">
      <c r="A29" s="12" t="s">
        <v>45</v>
      </c>
      <c r="B29" s="13"/>
      <c r="C29" s="13"/>
    </row>
    <row r="30" customFormat="false" ht="17.15" hidden="false" customHeight="false" outlineLevel="0" collapsed="false">
      <c r="A30" s="14" t="s">
        <v>46</v>
      </c>
      <c r="B30" s="15" t="n">
        <v>50</v>
      </c>
      <c r="C30" s="16" t="s">
        <v>47</v>
      </c>
    </row>
    <row r="31" customFormat="false" ht="17.15" hidden="false" customHeight="false" outlineLevel="0" collapsed="false">
      <c r="A31" s="14" t="s">
        <v>48</v>
      </c>
      <c r="B31" s="15" t="n">
        <v>10</v>
      </c>
      <c r="C31" s="16" t="s">
        <v>49</v>
      </c>
    </row>
    <row r="32" customFormat="false" ht="15" hidden="false" customHeight="false" outlineLevel="0" collapsed="false">
      <c r="A32" s="14" t="s">
        <v>50</v>
      </c>
      <c r="B32" s="17" t="n">
        <v>0.6</v>
      </c>
      <c r="C32" s="18" t="s">
        <v>51</v>
      </c>
    </row>
    <row r="33" customFormat="false" ht="15" hidden="false" customHeight="false" outlineLevel="0" collapsed="false">
      <c r="A33" s="14" t="s">
        <v>52</v>
      </c>
      <c r="B33" s="17" t="n">
        <v>0.7</v>
      </c>
      <c r="C33" s="18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44"/>
  </cols>
  <sheetData>
    <row r="1" customFormat="false" ht="21" hidden="false" customHeight="true" outlineLevel="0" collapsed="false">
      <c r="A1" s="2" t="s">
        <v>54</v>
      </c>
    </row>
    <row r="2" customFormat="false" ht="15" hidden="false" customHeight="true" outlineLevel="0" collapsed="false">
      <c r="A2" s="3" t="s">
        <v>55</v>
      </c>
    </row>
    <row r="4" customFormat="false" ht="15" hidden="false" customHeight="true" outlineLevel="0" collapsed="false">
      <c r="A4" s="4" t="s">
        <v>56</v>
      </c>
      <c r="B4" s="5"/>
      <c r="C4" s="5"/>
    </row>
    <row r="5" customFormat="false" ht="15" hidden="false" customHeight="true" outlineLevel="0" collapsed="false">
      <c r="A5" s="6" t="s">
        <v>57</v>
      </c>
      <c r="B5" s="19" t="n">
        <f aca="false">('假設 Assumptions'!B5*'假設 Assumptions'!B6*'假設 Assumptions'!B7*'假設 Assumptions'!B8)*'假設 Assumptions'!B11*'假設 Assumptions'!B10</f>
        <v>340200</v>
      </c>
      <c r="C5" s="3" t="s">
        <v>58</v>
      </c>
    </row>
    <row r="6" customFormat="false" ht="15" hidden="false" customHeight="true" outlineLevel="0" collapsed="false">
      <c r="A6" s="6" t="s">
        <v>59</v>
      </c>
      <c r="B6" s="20" t="n">
        <f aca="false">('假設 Assumptions'!B5*'假設 Assumptions'!B6*'假設 Assumptions'!B7*'假設 Assumptions'!B8*'假設 Assumptions'!B11)/3.5*'假設 Assumptions'!B14</f>
        <v>777.6</v>
      </c>
      <c r="C6" s="3" t="s">
        <v>60</v>
      </c>
    </row>
    <row r="7" customFormat="false" ht="16.5" hidden="false" customHeight="true" outlineLevel="0" collapsed="false">
      <c r="A7" s="6" t="s">
        <v>61</v>
      </c>
      <c r="B7" s="19" t="n">
        <f aca="false">B6*'假設 Assumptions'!B13</f>
        <v>93312</v>
      </c>
      <c r="C7" s="3" t="s">
        <v>62</v>
      </c>
    </row>
    <row r="8" customFormat="false" ht="15" hidden="false" customHeight="true" outlineLevel="0" collapsed="false">
      <c r="A8" s="6" t="s">
        <v>63</v>
      </c>
      <c r="B8" s="19" t="n">
        <f aca="false">B7*'假設 Assumptions'!B15</f>
        <v>60652.8</v>
      </c>
      <c r="C8" s="3" t="s">
        <v>64</v>
      </c>
    </row>
    <row r="9" customFormat="false" ht="16.5" hidden="false" customHeight="true" outlineLevel="0" collapsed="false">
      <c r="A9" s="21" t="s">
        <v>65</v>
      </c>
      <c r="B9" s="22" t="n">
        <f aca="false">B5+B8</f>
        <v>400852.8</v>
      </c>
      <c r="C9" s="3" t="s">
        <v>66</v>
      </c>
    </row>
    <row r="11" customFormat="false" ht="15" hidden="false" customHeight="true" outlineLevel="0" collapsed="false">
      <c r="A11" s="4" t="s">
        <v>67</v>
      </c>
      <c r="B11" s="5"/>
      <c r="C11" s="5"/>
    </row>
    <row r="12" customFormat="false" ht="15" hidden="false" customHeight="true" outlineLevel="0" collapsed="false">
      <c r="A12" s="6" t="s">
        <v>24</v>
      </c>
      <c r="B12" s="23" t="n">
        <f aca="false">'假設 Assumptions'!B17</f>
        <v>20000</v>
      </c>
    </row>
    <row r="13" customFormat="false" ht="16.5" hidden="false" customHeight="true" outlineLevel="0" collapsed="false">
      <c r="A13" s="6" t="s">
        <v>68</v>
      </c>
      <c r="B13" s="19" t="n">
        <f aca="false">'假設 Assumptions'!B18*'假設 Assumptions'!B19</f>
        <v>114000</v>
      </c>
      <c r="C13" s="3" t="s">
        <v>69</v>
      </c>
    </row>
    <row r="14" customFormat="false" ht="16.5" hidden="false" customHeight="true" outlineLevel="0" collapsed="false">
      <c r="A14" s="6" t="s">
        <v>70</v>
      </c>
      <c r="B14" s="19" t="n">
        <f aca="false">'假設 Assumptions'!B18*'假設 Assumptions'!B19*0.15</f>
        <v>17100</v>
      </c>
      <c r="C14" s="3" t="s">
        <v>71</v>
      </c>
    </row>
    <row r="15" customFormat="false" ht="15" hidden="false" customHeight="true" outlineLevel="0" collapsed="false">
      <c r="A15" s="6" t="s">
        <v>30</v>
      </c>
      <c r="B15" s="23" t="n">
        <f aca="false">'假設 Assumptions'!B20</f>
        <v>15000</v>
      </c>
    </row>
    <row r="16" customFormat="false" ht="15" hidden="false" customHeight="true" outlineLevel="0" collapsed="false">
      <c r="A16" s="6" t="s">
        <v>72</v>
      </c>
      <c r="B16" s="23" t="n">
        <f aca="false">'假設 Assumptions'!B21</f>
        <v>10000</v>
      </c>
    </row>
    <row r="17" customFormat="false" ht="16.5" hidden="false" customHeight="true" outlineLevel="0" collapsed="false">
      <c r="A17" s="6" t="s">
        <v>73</v>
      </c>
      <c r="B17" s="19" t="n">
        <f aca="false">('假設 Assumptions'!B5*'假設 Assumptions'!B23+'假設 Assumptions'!B5*'假設 Assumptions'!B24+'假設 Assumptions'!B25+'假設 Assumptions'!B26)/'假設 Assumptions'!B27/12</f>
        <v>25833.3333333333</v>
      </c>
      <c r="C17" s="3" t="s">
        <v>74</v>
      </c>
    </row>
    <row r="18" customFormat="false" ht="15" hidden="false" customHeight="true" outlineLevel="0" collapsed="false">
      <c r="A18" s="14" t="s">
        <v>75</v>
      </c>
      <c r="B18" s="24" t="n">
        <f aca="false">('假設 Assumptions'!B5*'假設 Assumptions'!B7*'假設 Assumptions'!B8*'假設 Assumptions'!B11/3.5)*'假設 Assumptions'!B32*'假設 Assumptions'!B30 + ('假設 Assumptions'!B5*'假設 Assumptions'!B7*'假設 Assumptions'!B8*'假設 Assumptions'!B11/3.5)*'假設 Assumptions'!B6*'假設 Assumptions'!B33*'假設 Assumptions'!B31</f>
        <v>18792</v>
      </c>
      <c r="C18" s="16" t="s">
        <v>76</v>
      </c>
    </row>
    <row r="19" customFormat="false" ht="15" hidden="false" customHeight="false" outlineLevel="0" collapsed="false">
      <c r="A19" s="25" t="s">
        <v>77</v>
      </c>
      <c r="B19" s="26" t="n">
        <f aca="false">B12+B13+B14+B15+B16+B17+B18</f>
        <v>220725.333333333</v>
      </c>
    </row>
    <row r="20" customFormat="false" ht="15" hidden="false" customHeight="true" outlineLevel="0" collapsed="false"/>
    <row r="21" customFormat="false" ht="15" hidden="false" customHeight="true" outlineLevel="0" collapsed="false">
      <c r="A21" s="4" t="s">
        <v>78</v>
      </c>
      <c r="B21" s="5"/>
      <c r="C21" s="5"/>
    </row>
    <row r="22" customFormat="false" ht="15" hidden="false" customHeight="true" outlineLevel="0" collapsed="false">
      <c r="A22" s="27" t="s">
        <v>79</v>
      </c>
      <c r="B22" s="28" t="n">
        <f aca="false">B9-B19</f>
        <v>180127.466666667</v>
      </c>
    </row>
    <row r="23" customFormat="false" ht="15" hidden="false" customHeight="false" outlineLevel="0" collapsed="false">
      <c r="A23" s="6" t="s">
        <v>80</v>
      </c>
      <c r="B23" s="29" t="n">
        <f aca="false">B22/(B5+B7)</f>
        <v>0.41550745231197</v>
      </c>
      <c r="C23" s="3" t="s">
        <v>81</v>
      </c>
    </row>
    <row r="24" customFormat="false" ht="15" hidden="false" customHeight="true" outlineLevel="0" collapsed="false"/>
    <row r="25" customFormat="false" ht="15" hidden="false" customHeight="true" outlineLevel="0" collapsed="false">
      <c r="A25" s="4" t="s">
        <v>82</v>
      </c>
      <c r="B25" s="5"/>
      <c r="C25" s="5"/>
    </row>
    <row r="26" customFormat="false" ht="15" hidden="false" customHeight="true" outlineLevel="0" collapsed="false">
      <c r="A26" s="30" t="s">
        <v>83</v>
      </c>
      <c r="B26" s="31" t="n">
        <f aca="false">B19/((('假設 Assumptions'!B5*'假設 Assumptions'!B6*'假設 Assumptions'!B7*'假設 Assumptions'!B8)*'假設 Assumptions'!B10)+(('假設 Assumptions'!B5*'假設 Assumptions'!B6*'假設 Assumptions'!B7*'假設 Assumptions'!B8)/3.5*'假設 Assumptions'!B14*'假設 Assumptions'!B13*'假設 Assumptions'!B15))</f>
        <v>0.247787716588234</v>
      </c>
      <c r="C26" s="3" t="s">
        <v>84</v>
      </c>
    </row>
    <row r="27" customFormat="false" ht="16.5" hidden="false" customHeight="true" outlineLevel="0" collapsed="false">
      <c r="A27" s="32" t="s">
        <v>85</v>
      </c>
      <c r="B27" s="33" t="n">
        <f aca="false">('假設 Assumptions'!B5*'假設 Assumptions'!B23+'假設 Assumptions'!B5*'假設 Assumptions'!B24+'假設 Assumptions'!B25+'假設 Assumptions'!B26)</f>
        <v>1550000</v>
      </c>
      <c r="C27" s="3" t="s">
        <v>86</v>
      </c>
    </row>
    <row r="28" customFormat="false" ht="17.15" hidden="false" customHeight="false" outlineLevel="0" collapsed="false">
      <c r="A28" s="30" t="s">
        <v>87</v>
      </c>
      <c r="B28" s="34" t="n">
        <f aca="false">IF(B22&gt;0,B27/B22,"虧損中")</f>
        <v>8.6050174839151</v>
      </c>
      <c r="C28" s="3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2026-06-15T05:22:53Z</dcterms:created>
  <dc:creator>openpyxl</dc:creator>
  <dc:description/>
  <dc:language>en-US</dc:language>
  <cp:lastModifiedBy/>
  <dcterms:modified xsi:type="dcterms:W3CDTF">2026-06-16T17:10:46Z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